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<sst xmlns="http://schemas.openxmlformats.org/spreadsheetml/2006/main" count="366" uniqueCount="360">
  <si>
    <t>点位名称</t>
  </si>
  <si>
    <t>左摄像头通道</t>
  </si>
  <si>
    <t>左摄像头IP地址</t>
  </si>
  <si>
    <t>右摄像头通道</t>
  </si>
  <si>
    <t>右摄像头IP地址</t>
  </si>
  <si>
    <t>闸机IP</t>
  </si>
  <si>
    <t>备注说明</t>
  </si>
  <si>
    <t>JSON字符串</t>
  </si>
  <si>
    <t>SQL字符串</t>
  </si>
  <si>
    <t>称房</t>
  </si>
  <si>
    <t>ch01</t>
  </si>
  <si>
    <t>192.168.10.160</t>
  </si>
  <si>
    <t>秤房</t>
  </si>
  <si>
    <t>4—13</t>
  </si>
  <si>
    <t>ch02</t>
  </si>
  <si>
    <t>192.168.10.159</t>
  </si>
  <si>
    <t>ch03</t>
  </si>
  <si>
    <t>192.168.10.158</t>
  </si>
  <si>
    <t>192.168.10.157</t>
  </si>
  <si>
    <t>5号库西南角</t>
  </si>
  <si>
    <t>4—12</t>
  </si>
  <si>
    <t>ch04</t>
  </si>
  <si>
    <t>192.168.10.156</t>
  </si>
  <si>
    <t>ch05</t>
  </si>
  <si>
    <t>192.168.10.155</t>
  </si>
  <si>
    <t>192.168.10.154</t>
  </si>
  <si>
    <t>20号料场西</t>
  </si>
  <si>
    <t>4—11</t>
  </si>
  <si>
    <t>ch06</t>
  </si>
  <si>
    <t>192.168.10.153</t>
  </si>
  <si>
    <t>ch07</t>
  </si>
  <si>
    <t>192.168.10.152</t>
  </si>
  <si>
    <t>192.168.10.151</t>
  </si>
  <si>
    <t>20号料场东</t>
  </si>
  <si>
    <t>4—10</t>
  </si>
  <si>
    <t>ch08</t>
  </si>
  <si>
    <t>192.168.10.150</t>
  </si>
  <si>
    <t>ch09</t>
  </si>
  <si>
    <t>192.168.10.149</t>
  </si>
  <si>
    <t>192.168.10.148</t>
  </si>
  <si>
    <t>10号库西南角</t>
  </si>
  <si>
    <t>4—9</t>
  </si>
  <si>
    <t>ch10</t>
  </si>
  <si>
    <t>192.168.10.147</t>
  </si>
  <si>
    <t>ch11</t>
  </si>
  <si>
    <t>192.168.10.146</t>
  </si>
  <si>
    <t>192.168.10.145</t>
  </si>
  <si>
    <t>9号库西南</t>
  </si>
  <si>
    <t>4—8</t>
  </si>
  <si>
    <t>ch12</t>
  </si>
  <si>
    <t>192.168.10.144</t>
  </si>
  <si>
    <t>ch13</t>
  </si>
  <si>
    <t>192.168.10.143</t>
  </si>
  <si>
    <t>192.168.10.142</t>
  </si>
  <si>
    <t>5号库西北角</t>
  </si>
  <si>
    <t>4—7</t>
  </si>
  <si>
    <t>ch14</t>
  </si>
  <si>
    <t>192.168.10.141</t>
  </si>
  <si>
    <t>ch15</t>
  </si>
  <si>
    <t>192.168.10.140</t>
  </si>
  <si>
    <t>192.168.10.139</t>
  </si>
  <si>
    <t>14库西南角</t>
  </si>
  <si>
    <t>4—6</t>
  </si>
  <si>
    <t>ch16</t>
  </si>
  <si>
    <t>192.168.10.138</t>
  </si>
  <si>
    <t>ch17</t>
  </si>
  <si>
    <t>192.168.10.137</t>
  </si>
  <si>
    <t>192.168.10.136</t>
  </si>
  <si>
    <t>11号库东南角</t>
  </si>
  <si>
    <t>4—5</t>
  </si>
  <si>
    <t>ch18</t>
  </si>
  <si>
    <t>192.168.10.135</t>
  </si>
  <si>
    <t>ch19</t>
  </si>
  <si>
    <t>192.168.10.134</t>
  </si>
  <si>
    <t>192.168.10.133</t>
  </si>
  <si>
    <t>15号库东北角</t>
  </si>
  <si>
    <t>4—4</t>
  </si>
  <si>
    <t>ch20</t>
  </si>
  <si>
    <t>192.168.10.132</t>
  </si>
  <si>
    <t>ch21</t>
  </si>
  <si>
    <t>192.168.10.131</t>
  </si>
  <si>
    <t>192.168.10.130</t>
  </si>
  <si>
    <t>16号库西南角</t>
  </si>
  <si>
    <t>4—3</t>
  </si>
  <si>
    <t>ch22</t>
  </si>
  <si>
    <t>192.168.10.129</t>
  </si>
  <si>
    <t>ch23</t>
  </si>
  <si>
    <t>192.168.10.128</t>
  </si>
  <si>
    <t>192.168.10.127</t>
  </si>
  <si>
    <t>17号库西南角</t>
  </si>
  <si>
    <t>4—2</t>
  </si>
  <si>
    <t>ch24</t>
  </si>
  <si>
    <t>192.168.10.126</t>
  </si>
  <si>
    <t>ch25</t>
  </si>
  <si>
    <t>192.168.10.125</t>
  </si>
  <si>
    <t>192.168.10.124</t>
  </si>
  <si>
    <t>18号库西南</t>
  </si>
  <si>
    <t>4—1</t>
  </si>
  <si>
    <t>ch26</t>
  </si>
  <si>
    <t>192.168.10.123</t>
  </si>
  <si>
    <t>ch27</t>
  </si>
  <si>
    <t>192.168.10.122</t>
  </si>
  <si>
    <t>192.168.10.121</t>
  </si>
  <si>
    <t>18号库北</t>
  </si>
  <si>
    <t>3—11</t>
  </si>
  <si>
    <t>ch28</t>
  </si>
  <si>
    <t>192.168.10.120</t>
  </si>
  <si>
    <t>ch29</t>
  </si>
  <si>
    <t>192.168.10.119</t>
  </si>
  <si>
    <t>192.168.10.118</t>
  </si>
  <si>
    <t>23号库东南角</t>
  </si>
  <si>
    <t>3—10</t>
  </si>
  <si>
    <t>ch30</t>
  </si>
  <si>
    <t>192.168.10.117</t>
  </si>
  <si>
    <t>ch31</t>
  </si>
  <si>
    <t>192.168.10.116</t>
  </si>
  <si>
    <t>192.168.10.115</t>
  </si>
  <si>
    <t>24号库东北角</t>
  </si>
  <si>
    <t>3—9</t>
  </si>
  <si>
    <t>ch32</t>
  </si>
  <si>
    <t>192.168.10.114</t>
  </si>
  <si>
    <t>ch33</t>
  </si>
  <si>
    <t>192.168.10.113</t>
  </si>
  <si>
    <t>192.168.10.112</t>
  </si>
  <si>
    <t>27号库北</t>
  </si>
  <si>
    <t>3—8</t>
  </si>
  <si>
    <t>ch34</t>
  </si>
  <si>
    <t>192.168.10.111</t>
  </si>
  <si>
    <t>ch35</t>
  </si>
  <si>
    <t>192.168.10.110</t>
  </si>
  <si>
    <t>192.168.10.109</t>
  </si>
  <si>
    <t>22号东南角</t>
  </si>
  <si>
    <t>3—7</t>
  </si>
  <si>
    <t>ch36</t>
  </si>
  <si>
    <t>192.168.10.108</t>
  </si>
  <si>
    <t>ch37</t>
  </si>
  <si>
    <t>192.168.10.107</t>
  </si>
  <si>
    <t>192.168.10.106</t>
  </si>
  <si>
    <t>21库东南角</t>
  </si>
  <si>
    <t>3—6</t>
  </si>
  <si>
    <t>ch38</t>
  </si>
  <si>
    <t>192.168.10.105</t>
  </si>
  <si>
    <t>ch39</t>
  </si>
  <si>
    <t>192.168.10.104</t>
  </si>
  <si>
    <t>192.168.10.103</t>
  </si>
  <si>
    <t>21库北侧</t>
  </si>
  <si>
    <t>3—5</t>
  </si>
  <si>
    <t>ch40</t>
  </si>
  <si>
    <t>192.168.10.102</t>
  </si>
  <si>
    <t>ch41</t>
  </si>
  <si>
    <t>192.168.10.101</t>
  </si>
  <si>
    <t>192.168.10.100</t>
  </si>
  <si>
    <t>0号公路西北角</t>
  </si>
  <si>
    <t>3—4</t>
  </si>
  <si>
    <t>ch42</t>
  </si>
  <si>
    <t>192.168.10.99</t>
  </si>
  <si>
    <t>ch43</t>
  </si>
  <si>
    <t>192.168.10.98</t>
  </si>
  <si>
    <t>192.168.10.97</t>
  </si>
  <si>
    <t>11号库西料场</t>
  </si>
  <si>
    <t>3—3</t>
  </si>
  <si>
    <t>ch44</t>
  </si>
  <si>
    <t>192.168.10.96</t>
  </si>
  <si>
    <t>ch45</t>
  </si>
  <si>
    <t>192.168.10.95</t>
  </si>
  <si>
    <t>192.168.10.94</t>
  </si>
  <si>
    <t>22号库后</t>
  </si>
  <si>
    <t>3—2</t>
  </si>
  <si>
    <t>ch46</t>
  </si>
  <si>
    <t>192.168.10.93</t>
  </si>
  <si>
    <t>ch47</t>
  </si>
  <si>
    <t>192.168.10.92</t>
  </si>
  <si>
    <t>192.168.10.91</t>
  </si>
  <si>
    <t>24号库对面</t>
  </si>
  <si>
    <t>3—1</t>
  </si>
  <si>
    <t>ch48</t>
  </si>
  <si>
    <t>192.168.10.90</t>
  </si>
  <si>
    <t>ch49</t>
  </si>
  <si>
    <t>192.168.10.89</t>
  </si>
  <si>
    <t>192.168.10.88</t>
  </si>
  <si>
    <t>26号库对面</t>
  </si>
  <si>
    <t>2—11</t>
  </si>
  <si>
    <t>ch50</t>
  </si>
  <si>
    <t>192.168.10.87</t>
  </si>
  <si>
    <t>ch51</t>
  </si>
  <si>
    <t>192.168.10.86</t>
  </si>
  <si>
    <t>192.168.10.85</t>
  </si>
  <si>
    <t>48库南侧</t>
  </si>
  <si>
    <t>2—10</t>
  </si>
  <si>
    <t>ch52</t>
  </si>
  <si>
    <t>192.168.10.84</t>
  </si>
  <si>
    <t>ch53</t>
  </si>
  <si>
    <t>192.168.10.83</t>
  </si>
  <si>
    <t>192.168.10.82</t>
  </si>
  <si>
    <t>53号库南侧</t>
  </si>
  <si>
    <t>2—9</t>
  </si>
  <si>
    <t>ch54</t>
  </si>
  <si>
    <t>192.168.10.81</t>
  </si>
  <si>
    <t>ch55</t>
  </si>
  <si>
    <t>192.168.10.80</t>
  </si>
  <si>
    <t>192.168.10.79</t>
  </si>
  <si>
    <t>57号库南侧</t>
  </si>
  <si>
    <t>2—8</t>
  </si>
  <si>
    <t>ch56</t>
  </si>
  <si>
    <t>192.168.10.78</t>
  </si>
  <si>
    <t>ch57</t>
  </si>
  <si>
    <t>192.168.10.77</t>
  </si>
  <si>
    <t>192.168.10.76</t>
  </si>
  <si>
    <t>59号库南侧</t>
  </si>
  <si>
    <t>2—7</t>
  </si>
  <si>
    <t>ch58</t>
  </si>
  <si>
    <t>192.168.10.75</t>
  </si>
  <si>
    <t>ch59</t>
  </si>
  <si>
    <t>192.168.10.74</t>
  </si>
  <si>
    <t>14号料场北侧</t>
  </si>
  <si>
    <t>2—6</t>
  </si>
  <si>
    <t>ch60</t>
  </si>
  <si>
    <t>192.168.10.73</t>
  </si>
  <si>
    <t>ch61</t>
  </si>
  <si>
    <t>192.168.10.72</t>
  </si>
  <si>
    <t>192.168.10.71</t>
  </si>
  <si>
    <t>10号库东侧</t>
  </si>
  <si>
    <t>2—5</t>
  </si>
  <si>
    <t>ch62</t>
  </si>
  <si>
    <t>192.168.10.70</t>
  </si>
  <si>
    <t>ch63</t>
  </si>
  <si>
    <t>192.168.10.69</t>
  </si>
  <si>
    <t>192.168.10.68</t>
  </si>
  <si>
    <t>筒仓对面路口</t>
  </si>
  <si>
    <t>2—4</t>
  </si>
  <si>
    <t>ch64</t>
  </si>
  <si>
    <t>192.168.10.66</t>
  </si>
  <si>
    <t>192.168.10.65</t>
  </si>
  <si>
    <t>0号公路东北角2</t>
  </si>
  <si>
    <t>2—3</t>
  </si>
  <si>
    <t>ch65</t>
  </si>
  <si>
    <t>192.168.10.64</t>
  </si>
  <si>
    <t>ch66</t>
  </si>
  <si>
    <t>192.168.10.63</t>
  </si>
  <si>
    <t>192.168.10.62</t>
  </si>
  <si>
    <t>12号料场</t>
  </si>
  <si>
    <t>2—2</t>
  </si>
  <si>
    <t>ch67</t>
  </si>
  <si>
    <t>192.168.10.61</t>
  </si>
  <si>
    <t>ch68</t>
  </si>
  <si>
    <t>192.168.10.60</t>
  </si>
  <si>
    <t>192.168.10.59</t>
  </si>
  <si>
    <t>9号料场</t>
  </si>
  <si>
    <t>2—1</t>
  </si>
  <si>
    <t>ch69</t>
  </si>
  <si>
    <t>192.168.10.58</t>
  </si>
  <si>
    <t>ch70</t>
  </si>
  <si>
    <t>192.168.10.57</t>
  </si>
  <si>
    <t>192.168.10.56</t>
  </si>
  <si>
    <t>北门</t>
  </si>
  <si>
    <t>1—15</t>
  </si>
  <si>
    <t>ch71</t>
  </si>
  <si>
    <t>192.168.10.55</t>
  </si>
  <si>
    <t>ch72</t>
  </si>
  <si>
    <t>192.168.10.54</t>
  </si>
  <si>
    <t>192.168.10.53</t>
  </si>
  <si>
    <t>海关监管东侧料场</t>
  </si>
  <si>
    <t>1—14</t>
  </si>
  <si>
    <t>ch73</t>
  </si>
  <si>
    <t>192.168.10.52</t>
  </si>
  <si>
    <t>ch74</t>
  </si>
  <si>
    <t>192.168.10.51</t>
  </si>
  <si>
    <t>192.168.10.50</t>
  </si>
  <si>
    <t>2号公路西</t>
  </si>
  <si>
    <t>1—13</t>
  </si>
  <si>
    <t>ch75</t>
  </si>
  <si>
    <t>192.168.10.49</t>
  </si>
  <si>
    <t>ch76</t>
  </si>
  <si>
    <t>192.168.10.48</t>
  </si>
  <si>
    <t>192.168.10.47</t>
  </si>
  <si>
    <t>65号库东</t>
  </si>
  <si>
    <t>1—12</t>
  </si>
  <si>
    <t>ch77</t>
  </si>
  <si>
    <t>192.168.10.46</t>
  </si>
  <si>
    <t>ch78</t>
  </si>
  <si>
    <t>192.168.10.45</t>
  </si>
  <si>
    <t>192.168.10.44</t>
  </si>
  <si>
    <t>2号公路东北</t>
  </si>
  <si>
    <t>1—11</t>
  </si>
  <si>
    <t>ch79</t>
  </si>
  <si>
    <t>192.168.10.43</t>
  </si>
  <si>
    <t>ch80</t>
  </si>
  <si>
    <t>192.168.10.42</t>
  </si>
  <si>
    <t>192.168.10.41</t>
  </si>
  <si>
    <t>筒仓路口</t>
  </si>
  <si>
    <t>1—10</t>
  </si>
  <si>
    <t>ch81</t>
  </si>
  <si>
    <t>192.168.10.40</t>
  </si>
  <si>
    <t>ch82</t>
  </si>
  <si>
    <t>192.168.10.39</t>
  </si>
  <si>
    <t>192.168.10.38</t>
  </si>
  <si>
    <t>3号公里火车道路口</t>
  </si>
  <si>
    <t>1—9</t>
  </si>
  <si>
    <t>ch83</t>
  </si>
  <si>
    <t>192.168.10.37</t>
  </si>
  <si>
    <t>ch84</t>
  </si>
  <si>
    <t>192.168.10.35</t>
  </si>
  <si>
    <t>192.168.10.34</t>
  </si>
  <si>
    <t>70号库西侧</t>
  </si>
  <si>
    <t>1—8</t>
  </si>
  <si>
    <t>ch85</t>
  </si>
  <si>
    <t>192.168.10.33</t>
  </si>
  <si>
    <t>ch86</t>
  </si>
  <si>
    <t>192.168.10.32</t>
  </si>
  <si>
    <t>192.168.10.31</t>
  </si>
  <si>
    <t>73号库西侧</t>
  </si>
  <si>
    <t>1—7</t>
  </si>
  <si>
    <t>ch87</t>
  </si>
  <si>
    <t>192.168.10.30</t>
  </si>
  <si>
    <t>ch88</t>
  </si>
  <si>
    <t>192.168.10.29</t>
  </si>
  <si>
    <t>192.168.10.28</t>
  </si>
  <si>
    <t>72号库西侧</t>
  </si>
  <si>
    <t>1—6</t>
  </si>
  <si>
    <t>ch89</t>
  </si>
  <si>
    <t>192.168.10.27</t>
  </si>
  <si>
    <t>ch90</t>
  </si>
  <si>
    <t>192.168.10.26</t>
  </si>
  <si>
    <t>192.168.10.25</t>
  </si>
  <si>
    <t>27号料场北侧路口</t>
  </si>
  <si>
    <t>1—5</t>
  </si>
  <si>
    <t>ch91</t>
  </si>
  <si>
    <t>192.168.10.24</t>
  </si>
  <si>
    <t>ch92</t>
  </si>
  <si>
    <t>192.168.10.23</t>
  </si>
  <si>
    <t>192.168.10.22</t>
  </si>
  <si>
    <t>27号料场东</t>
  </si>
  <si>
    <t>1—4</t>
  </si>
  <si>
    <t>ch93</t>
  </si>
  <si>
    <t>192.168.10.21</t>
  </si>
  <si>
    <t>ch94</t>
  </si>
  <si>
    <t>192.168.10.20</t>
  </si>
  <si>
    <t>192.168.10.19</t>
  </si>
  <si>
    <t>3号公路东南角</t>
  </si>
  <si>
    <t>1—3</t>
  </si>
  <si>
    <t>ch95</t>
  </si>
  <si>
    <t>192.168.10.18</t>
  </si>
  <si>
    <t>ch96</t>
  </si>
  <si>
    <t>192.168.10.17</t>
  </si>
  <si>
    <t>192.168.10.16</t>
  </si>
  <si>
    <t>3号公路中段路口</t>
  </si>
  <si>
    <t>1—2</t>
  </si>
  <si>
    <t>ch97</t>
  </si>
  <si>
    <t>192.168.10.15</t>
  </si>
  <si>
    <t>ch98</t>
  </si>
  <si>
    <t>192.168.10.14</t>
  </si>
  <si>
    <t>192.168.10.13</t>
  </si>
  <si>
    <t>0号公路中段</t>
  </si>
  <si>
    <t>1—1</t>
  </si>
  <si>
    <t>ch99</t>
  </si>
  <si>
    <t>192.168.10.11</t>
  </si>
  <si>
    <t>ch100</t>
  </si>
  <si>
    <t>192.168.10.12</t>
  </si>
  <si>
    <t>192.168.10.10</t>
  </si>
  <si>
    <t>0号公路西口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</si>
</sst>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topLeftCell="H29" workbookViewId="0">
      <selection activeCell="I40" sqref="I40"/>
    </sheetView>
  </sheetViews>
  <sheetFormatPr defaultColWidth="8.725" defaultRowHeight="13.5"/>
  <cols>
    <col min="1" max="1" width="6.875" customWidth="1"/>
    <col min="2" max="2" width="9.625" customWidth="1"/>
    <col min="3" max="3" width="15.875" customWidth="1"/>
    <col min="4" max="4" width="9.625" customWidth="1"/>
    <col min="5" max="5" width="15.875" customWidth="1"/>
    <col min="6" max="6" width="16" customWidth="1"/>
    <col min="7" max="7" width="18.375" customWidth="1"/>
    <col min="8" max="8" width="111.5" customWidth="1"/>
    <col min="9" max="9" width="178.875" customWidth="1"/>
  </cols>
  <sheetData>
    <row r="1" s="1" customFormat="1" ht="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25" customHeight="1" spans="1:9">
      <c r="A2" s="4" t="s">
        <v>9</v>
      </c>
      <c r="B2" s="4" t="s">
        <v>10</v>
      </c>
      <c r="C2" s="4" t="s">
        <v>11</v>
      </c>
      <c r="D2" s="4" t="s">
        <v>10</v>
      </c>
      <c r="E2" s="4" t="s">
        <v>11</v>
      </c>
      <c r="F2" s="5" t="s">
        <v>11</v>
      </c>
      <c r="G2" s="4" t="s">
        <v>12</v>
      </c>
      <c r="H2" s="6" t="str">
        <f>"{'ip1':'"&amp;C2&amp;"','channel1':'"&amp;B2&amp;"','ip2':'"&amp;E2&amp;"','channel2':'"&amp;D2&amp;"','machine':'"&amp;F2&amp;"'}"</f>
        <v>{'ip1':'192.168.10.160','channel1':'ch01','ip2':'192.168.10.160','channel2':'ch01','machine':'192.168.10.160'}</v>
      </c>
      <c r="I2" s="6" t="str">
        <f>"update wms_device set data = """&amp;H2&amp;""" where device_name = """&amp;G2&amp;""";"</f>
        <v>update wms_device set data = "{'ip1':'192.168.10.160','channel1':'ch01','ip2':'192.168.10.160','channel2':'ch01','machine':'192.168.10.160'}" where device_name = "秤房";</v>
      </c>
    </row>
    <row r="3" ht="25" customHeight="1" spans="1:9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5" t="s">
        <v>18</v>
      </c>
      <c r="G3" s="4" t="s">
        <v>19</v>
      </c>
      <c r="H3" s="6" t="str">
        <f t="shared" ref="H3:H34" si="0">"{'ip1':'"&amp;C3&amp;"','channel1':'"&amp;B3&amp;"','ip2':'"&amp;E3&amp;"','channel2':'"&amp;D3&amp;"','machine':'"&amp;F3&amp;"'}"</f>
        <v>{'ip1':'192.168.10.159','channel1':'ch02','ip2':'192.168.10.158','channel2':'ch03','machine':'192.168.10.157'}</v>
      </c>
      <c r="I3" s="6" t="str">
        <f t="shared" ref="I3:I34" si="1">"update wms_device set data = """&amp;H3&amp;""" where device_name = """&amp;G3&amp;""";"</f>
        <v>update wms_device set data = "{'ip1':'192.168.10.159','channel1':'ch02','ip2':'192.168.10.158','channel2':'ch03','machine':'192.168.10.157'}" where device_name = "5号库西南角";</v>
      </c>
    </row>
    <row r="4" ht="25" customHeight="1" spans="1:9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5" t="s">
        <v>25</v>
      </c>
      <c r="G4" s="4" t="s">
        <v>26</v>
      </c>
      <c r="H4" s="6" t="str">
        <f t="shared" si="0"/>
        <v>{'ip1':'192.168.10.156','channel1':'ch04','ip2':'192.168.10.155','channel2':'ch05','machine':'192.168.10.154'}</v>
      </c>
      <c r="I4" s="6" t="str">
        <f t="shared" si="1"/>
        <v>update wms_device set data = "{'ip1':'192.168.10.156','channel1':'ch04','ip2':'192.168.10.155','channel2':'ch05','machine':'192.168.10.154'}" where device_name = "20号料场西";</v>
      </c>
    </row>
    <row r="5" ht="25" customHeight="1" spans="1:9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5" t="s">
        <v>32</v>
      </c>
      <c r="G5" s="4" t="s">
        <v>33</v>
      </c>
      <c r="H5" s="6" t="str">
        <f t="shared" si="0"/>
        <v>{'ip1':'192.168.10.153','channel1':'ch06','ip2':'192.168.10.152','channel2':'ch07','machine':'192.168.10.151'}</v>
      </c>
      <c r="I5" s="6" t="str">
        <f t="shared" si="1"/>
        <v>update wms_device set data = "{'ip1':'192.168.10.153','channel1':'ch06','ip2':'192.168.10.152','channel2':'ch07','machine':'192.168.10.151'}" where device_name = "20号料场东";</v>
      </c>
    </row>
    <row r="6" ht="25" customHeight="1" spans="1:9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5" t="s">
        <v>39</v>
      </c>
      <c r="G6" s="4" t="s">
        <v>40</v>
      </c>
      <c r="H6" s="6" t="str">
        <f t="shared" si="0"/>
        <v>{'ip1':'192.168.10.150','channel1':'ch08','ip2':'192.168.10.149','channel2':'ch09','machine':'192.168.10.148'}</v>
      </c>
      <c r="I6" s="6" t="str">
        <f t="shared" si="1"/>
        <v>update wms_device set data = "{'ip1':'192.168.10.150','channel1':'ch08','ip2':'192.168.10.149','channel2':'ch09','machine':'192.168.10.148'}" where device_name = "10号库西南角";</v>
      </c>
    </row>
    <row r="7" ht="25" customHeight="1" spans="1:9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5" t="s">
        <v>46</v>
      </c>
      <c r="G7" s="4" t="s">
        <v>47</v>
      </c>
      <c r="H7" s="6" t="str">
        <f t="shared" si="0"/>
        <v>{'ip1':'192.168.10.147','channel1':'ch10','ip2':'192.168.10.146','channel2':'ch11','machine':'192.168.10.145'}</v>
      </c>
      <c r="I7" s="6" t="str">
        <f t="shared" si="1"/>
        <v>update wms_device set data = "{'ip1':'192.168.10.147','channel1':'ch10','ip2':'192.168.10.146','channel2':'ch11','machine':'192.168.10.145'}" where device_name = "9号库西南";</v>
      </c>
    </row>
    <row r="8" ht="25" customHeight="1" spans="1:9">
      <c r="A8" s="4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5" t="s">
        <v>53</v>
      </c>
      <c r="G8" s="4" t="s">
        <v>54</v>
      </c>
      <c r="H8" s="6" t="str">
        <f t="shared" si="0"/>
        <v>{'ip1':'192.168.10.144','channel1':'ch12','ip2':'192.168.10.143','channel2':'ch13','machine':'192.168.10.142'}</v>
      </c>
      <c r="I8" s="6" t="str">
        <f t="shared" si="1"/>
        <v>update wms_device set data = "{'ip1':'192.168.10.144','channel1':'ch12','ip2':'192.168.10.143','channel2':'ch13','machine':'192.168.10.142'}" where device_name = "5号库西北角";</v>
      </c>
    </row>
    <row r="9" ht="25" customHeight="1" spans="1: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5" t="s">
        <v>60</v>
      </c>
      <c r="G9" s="4" t="s">
        <v>61</v>
      </c>
      <c r="H9" s="6" t="str">
        <f t="shared" si="0"/>
        <v>{'ip1':'192.168.10.141','channel1':'ch14','ip2':'192.168.10.140','channel2':'ch15','machine':'192.168.10.139'}</v>
      </c>
      <c r="I9" s="6" t="str">
        <f t="shared" si="1"/>
        <v>update wms_device set data = "{'ip1':'192.168.10.141','channel1':'ch14','ip2':'192.168.10.140','channel2':'ch15','machine':'192.168.10.139'}" where device_name = "14库西南角";</v>
      </c>
    </row>
    <row r="10" ht="25" customHeight="1" spans="1:9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5" t="s">
        <v>67</v>
      </c>
      <c r="G10" s="4" t="s">
        <v>68</v>
      </c>
      <c r="H10" s="6" t="str">
        <f t="shared" si="0"/>
        <v>{'ip1':'192.168.10.138','channel1':'ch16','ip2':'192.168.10.137','channel2':'ch17','machine':'192.168.10.136'}</v>
      </c>
      <c r="I10" s="6" t="str">
        <f t="shared" si="1"/>
        <v>update wms_device set data = "{'ip1':'192.168.10.138','channel1':'ch16','ip2':'192.168.10.137','channel2':'ch17','machine':'192.168.10.136'}" where device_name = "11号库东南角";</v>
      </c>
    </row>
    <row r="11" ht="25" customHeight="1" spans="1:9">
      <c r="A11" s="4" t="s">
        <v>69</v>
      </c>
      <c r="B11" s="4" t="s">
        <v>70</v>
      </c>
      <c r="C11" s="4" t="s">
        <v>71</v>
      </c>
      <c r="D11" s="4" t="s">
        <v>72</v>
      </c>
      <c r="E11" s="4" t="s">
        <v>73</v>
      </c>
      <c r="F11" s="5" t="s">
        <v>74</v>
      </c>
      <c r="G11" s="4" t="s">
        <v>75</v>
      </c>
      <c r="H11" s="6" t="str">
        <f t="shared" si="0"/>
        <v>{'ip1':'192.168.10.135','channel1':'ch18','ip2':'192.168.10.134','channel2':'ch19','machine':'192.168.10.133'}</v>
      </c>
      <c r="I11" s="6" t="str">
        <f t="shared" si="1"/>
        <v>update wms_device set data = "{'ip1':'192.168.10.135','channel1':'ch18','ip2':'192.168.10.134','channel2':'ch19','machine':'192.168.10.133'}" where device_name = "15号库东北角";</v>
      </c>
    </row>
    <row r="12" ht="25" customHeight="1" spans="1:9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80</v>
      </c>
      <c r="F12" s="5" t="s">
        <v>81</v>
      </c>
      <c r="G12" s="4" t="s">
        <v>82</v>
      </c>
      <c r="H12" s="6" t="str">
        <f t="shared" si="0"/>
        <v>{'ip1':'192.168.10.132','channel1':'ch20','ip2':'192.168.10.131','channel2':'ch21','machine':'192.168.10.130'}</v>
      </c>
      <c r="I12" s="6" t="str">
        <f t="shared" si="1"/>
        <v>update wms_device set data = "{'ip1':'192.168.10.132','channel1':'ch20','ip2':'192.168.10.131','channel2':'ch21','machine':'192.168.10.130'}" where device_name = "16号库西南角";</v>
      </c>
    </row>
    <row r="13" ht="25" customHeight="1" spans="1:9">
      <c r="A13" s="4" t="s">
        <v>83</v>
      </c>
      <c r="B13" s="4" t="s">
        <v>84</v>
      </c>
      <c r="C13" s="4" t="s">
        <v>85</v>
      </c>
      <c r="D13" s="4" t="s">
        <v>86</v>
      </c>
      <c r="E13" s="4" t="s">
        <v>87</v>
      </c>
      <c r="F13" s="5" t="s">
        <v>88</v>
      </c>
      <c r="G13" s="4" t="s">
        <v>89</v>
      </c>
      <c r="H13" s="6" t="str">
        <f t="shared" si="0"/>
        <v>{'ip1':'192.168.10.129','channel1':'ch22','ip2':'192.168.10.128','channel2':'ch23','machine':'192.168.10.127'}</v>
      </c>
      <c r="I13" s="6" t="str">
        <f t="shared" si="1"/>
        <v>update wms_device set data = "{'ip1':'192.168.10.129','channel1':'ch22','ip2':'192.168.10.128','channel2':'ch23','machine':'192.168.10.127'}" where device_name = "17号库西南角";</v>
      </c>
    </row>
    <row r="14" ht="25" customHeight="1" spans="1:9">
      <c r="A14" s="4" t="s">
        <v>90</v>
      </c>
      <c r="B14" s="4" t="s">
        <v>91</v>
      </c>
      <c r="C14" s="4" t="s">
        <v>92</v>
      </c>
      <c r="D14" s="4" t="s">
        <v>93</v>
      </c>
      <c r="E14" s="4" t="s">
        <v>94</v>
      </c>
      <c r="F14" s="5" t="s">
        <v>95</v>
      </c>
      <c r="G14" s="4" t="s">
        <v>96</v>
      </c>
      <c r="H14" s="6" t="str">
        <f t="shared" si="0"/>
        <v>{'ip1':'192.168.10.126','channel1':'ch24','ip2':'192.168.10.125','channel2':'ch25','machine':'192.168.10.124'}</v>
      </c>
      <c r="I14" s="6" t="str">
        <f t="shared" si="1"/>
        <v>update wms_device set data = "{'ip1':'192.168.10.126','channel1':'ch24','ip2':'192.168.10.125','channel2':'ch25','machine':'192.168.10.124'}" where device_name = "18号库西南";</v>
      </c>
    </row>
    <row r="15" ht="25" customHeight="1" spans="1:9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5" t="s">
        <v>102</v>
      </c>
      <c r="G15" s="4" t="s">
        <v>103</v>
      </c>
      <c r="H15" s="6" t="str">
        <f t="shared" si="0"/>
        <v>{'ip1':'192.168.10.123','channel1':'ch26','ip2':'192.168.10.122','channel2':'ch27','machine':'192.168.10.121'}</v>
      </c>
      <c r="I15" s="6" t="str">
        <f t="shared" si="1"/>
        <v>update wms_device set data = "{'ip1':'192.168.10.123','channel1':'ch26','ip2':'192.168.10.122','channel2':'ch27','machine':'192.168.10.121'}" where device_name = "18号库北";</v>
      </c>
    </row>
    <row r="16" ht="25" customHeight="1" spans="1:9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5" t="s">
        <v>109</v>
      </c>
      <c r="G16" s="4" t="s">
        <v>110</v>
      </c>
      <c r="H16" s="6" t="str">
        <f t="shared" si="0"/>
        <v>{'ip1':'192.168.10.120','channel1':'ch28','ip2':'192.168.10.119','channel2':'ch29','machine':'192.168.10.118'}</v>
      </c>
      <c r="I16" s="6" t="str">
        <f t="shared" si="1"/>
        <v>update wms_device set data = "{'ip1':'192.168.10.120','channel1':'ch28','ip2':'192.168.10.119','channel2':'ch29','machine':'192.168.10.118'}" where device_name = "23号库东南角";</v>
      </c>
    </row>
    <row r="17" ht="25" customHeight="1" spans="1:9">
      <c r="A17" s="4" t="s">
        <v>111</v>
      </c>
      <c r="B17" s="4" t="s">
        <v>112</v>
      </c>
      <c r="C17" s="4" t="s">
        <v>113</v>
      </c>
      <c r="D17" s="4" t="s">
        <v>114</v>
      </c>
      <c r="E17" s="4" t="s">
        <v>115</v>
      </c>
      <c r="F17" s="5" t="s">
        <v>116</v>
      </c>
      <c r="G17" s="4" t="s">
        <v>117</v>
      </c>
      <c r="H17" s="6" t="str">
        <f t="shared" si="0"/>
        <v>{'ip1':'192.168.10.117','channel1':'ch30','ip2':'192.168.10.116','channel2':'ch31','machine':'192.168.10.115'}</v>
      </c>
      <c r="I17" s="6" t="str">
        <f t="shared" si="1"/>
        <v>update wms_device set data = "{'ip1':'192.168.10.117','channel1':'ch30','ip2':'192.168.10.116','channel2':'ch31','machine':'192.168.10.115'}" where device_name = "24号库东北角";</v>
      </c>
    </row>
    <row r="18" ht="25" customHeight="1" spans="1:9">
      <c r="A18" s="4" t="s">
        <v>118</v>
      </c>
      <c r="B18" s="4" t="s">
        <v>119</v>
      </c>
      <c r="C18" s="4" t="s">
        <v>120</v>
      </c>
      <c r="D18" s="4" t="s">
        <v>121</v>
      </c>
      <c r="E18" s="4" t="s">
        <v>122</v>
      </c>
      <c r="F18" s="5" t="s">
        <v>123</v>
      </c>
      <c r="G18" s="4" t="s">
        <v>124</v>
      </c>
      <c r="H18" s="6" t="str">
        <f t="shared" si="0"/>
        <v>{'ip1':'192.168.10.114','channel1':'ch32','ip2':'192.168.10.113','channel2':'ch33','machine':'192.168.10.112'}</v>
      </c>
      <c r="I18" s="6" t="str">
        <f t="shared" si="1"/>
        <v>update wms_device set data = "{'ip1':'192.168.10.114','channel1':'ch32','ip2':'192.168.10.113','channel2':'ch33','machine':'192.168.10.112'}" where device_name = "27号库北";</v>
      </c>
    </row>
    <row r="19" ht="25" customHeight="1" spans="1:9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129</v>
      </c>
      <c r="F19" s="5" t="s">
        <v>130</v>
      </c>
      <c r="G19" s="4" t="s">
        <v>131</v>
      </c>
      <c r="H19" s="6" t="str">
        <f t="shared" si="0"/>
        <v>{'ip1':'192.168.10.111','channel1':'ch34','ip2':'192.168.10.110','channel2':'ch35','machine':'192.168.10.109'}</v>
      </c>
      <c r="I19" s="6" t="str">
        <f t="shared" si="1"/>
        <v>update wms_device set data = "{'ip1':'192.168.10.111','channel1':'ch34','ip2':'192.168.10.110','channel2':'ch35','machine':'192.168.10.109'}" where device_name = "22号东南角";</v>
      </c>
    </row>
    <row r="20" ht="25" customHeight="1" spans="1:9">
      <c r="A20" s="4" t="s">
        <v>132</v>
      </c>
      <c r="B20" s="4" t="s">
        <v>133</v>
      </c>
      <c r="C20" s="4" t="s">
        <v>134</v>
      </c>
      <c r="D20" s="4" t="s">
        <v>135</v>
      </c>
      <c r="E20" s="4" t="s">
        <v>136</v>
      </c>
      <c r="F20" s="5" t="s">
        <v>137</v>
      </c>
      <c r="G20" s="4" t="s">
        <v>138</v>
      </c>
      <c r="H20" s="6" t="str">
        <f t="shared" si="0"/>
        <v>{'ip1':'192.168.10.108','channel1':'ch36','ip2':'192.168.10.107','channel2':'ch37','machine':'192.168.10.106'}</v>
      </c>
      <c r="I20" s="6" t="str">
        <f t="shared" si="1"/>
        <v>update wms_device set data = "{'ip1':'192.168.10.108','channel1':'ch36','ip2':'192.168.10.107','channel2':'ch37','machine':'192.168.10.106'}" where device_name = "21库东南角";</v>
      </c>
    </row>
    <row r="21" ht="25" customHeight="1" spans="1:9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5" t="s">
        <v>144</v>
      </c>
      <c r="G21" s="4" t="s">
        <v>145</v>
      </c>
      <c r="H21" s="6" t="str">
        <f t="shared" si="0"/>
        <v>{'ip1':'192.168.10.105','channel1':'ch38','ip2':'192.168.10.104','channel2':'ch39','machine':'192.168.10.103'}</v>
      </c>
      <c r="I21" s="6" t="str">
        <f t="shared" si="1"/>
        <v>update wms_device set data = "{'ip1':'192.168.10.105','channel1':'ch38','ip2':'192.168.10.104','channel2':'ch39','machine':'192.168.10.103'}" where device_name = "21库北侧";</v>
      </c>
    </row>
    <row r="22" ht="25" customHeight="1" spans="1:9">
      <c r="A22" s="4" t="s">
        <v>146</v>
      </c>
      <c r="B22" s="4" t="s">
        <v>147</v>
      </c>
      <c r="C22" s="4" t="s">
        <v>148</v>
      </c>
      <c r="D22" s="4" t="s">
        <v>149</v>
      </c>
      <c r="E22" s="4" t="s">
        <v>150</v>
      </c>
      <c r="F22" s="5" t="s">
        <v>151</v>
      </c>
      <c r="G22" s="4" t="s">
        <v>152</v>
      </c>
      <c r="H22" s="6" t="str">
        <f t="shared" si="0"/>
        <v>{'ip1':'192.168.10.102','channel1':'ch40','ip2':'192.168.10.101','channel2':'ch41','machine':'192.168.10.100'}</v>
      </c>
      <c r="I22" s="6" t="str">
        <f t="shared" si="1"/>
        <v>update wms_device set data = "{'ip1':'192.168.10.102','channel1':'ch40','ip2':'192.168.10.101','channel2':'ch41','machine':'192.168.10.100'}" where device_name = "0号公路西北角";</v>
      </c>
    </row>
    <row r="23" ht="25" customHeight="1" spans="1:9">
      <c r="A23" s="4" t="s">
        <v>153</v>
      </c>
      <c r="B23" s="4" t="s">
        <v>154</v>
      </c>
      <c r="C23" s="4" t="s">
        <v>155</v>
      </c>
      <c r="D23" s="4" t="s">
        <v>156</v>
      </c>
      <c r="E23" s="4" t="s">
        <v>157</v>
      </c>
      <c r="F23" s="5" t="s">
        <v>158</v>
      </c>
      <c r="G23" s="4" t="s">
        <v>159</v>
      </c>
      <c r="H23" s="6" t="str">
        <f t="shared" si="0"/>
        <v>{'ip1':'192.168.10.99','channel1':'ch42','ip2':'192.168.10.98','channel2':'ch43','machine':'192.168.10.97'}</v>
      </c>
      <c r="I23" s="6" t="str">
        <f t="shared" si="1"/>
        <v>update wms_device set data = "{'ip1':'192.168.10.99','channel1':'ch42','ip2':'192.168.10.98','channel2':'ch43','machine':'192.168.10.97'}" where device_name = "11号库西料场";</v>
      </c>
    </row>
    <row r="24" ht="25" customHeight="1" spans="1:9">
      <c r="A24" s="4" t="s">
        <v>160</v>
      </c>
      <c r="B24" s="4" t="s">
        <v>161</v>
      </c>
      <c r="C24" s="4" t="s">
        <v>162</v>
      </c>
      <c r="D24" s="4" t="s">
        <v>163</v>
      </c>
      <c r="E24" s="4" t="s">
        <v>164</v>
      </c>
      <c r="F24" s="5" t="s">
        <v>165</v>
      </c>
      <c r="G24" s="4" t="s">
        <v>166</v>
      </c>
      <c r="H24" s="6" t="str">
        <f t="shared" si="0"/>
        <v>{'ip1':'192.168.10.96','channel1':'ch44','ip2':'192.168.10.95','channel2':'ch45','machine':'192.168.10.94'}</v>
      </c>
      <c r="I24" s="6" t="str">
        <f t="shared" si="1"/>
        <v>update wms_device set data = "{'ip1':'192.168.10.96','channel1':'ch44','ip2':'192.168.10.95','channel2':'ch45','machine':'192.168.10.94'}" where device_name = "22号库后";</v>
      </c>
    </row>
    <row r="25" ht="25" customHeight="1" spans="1:9">
      <c r="A25" s="4" t="s">
        <v>167</v>
      </c>
      <c r="B25" s="4" t="s">
        <v>168</v>
      </c>
      <c r="C25" s="4" t="s">
        <v>169</v>
      </c>
      <c r="D25" s="4" t="s">
        <v>170</v>
      </c>
      <c r="E25" s="4" t="s">
        <v>171</v>
      </c>
      <c r="F25" s="5" t="s">
        <v>172</v>
      </c>
      <c r="G25" s="4" t="s">
        <v>173</v>
      </c>
      <c r="H25" s="6" t="str">
        <f t="shared" si="0"/>
        <v>{'ip1':'192.168.10.93','channel1':'ch46','ip2':'192.168.10.92','channel2':'ch47','machine':'192.168.10.91'}</v>
      </c>
      <c r="I25" s="6" t="str">
        <f t="shared" si="1"/>
        <v>update wms_device set data = "{'ip1':'192.168.10.93','channel1':'ch46','ip2':'192.168.10.92','channel2':'ch47','machine':'192.168.10.91'}" where device_name = "24号库对面";</v>
      </c>
    </row>
    <row r="26" ht="25" customHeight="1" spans="1:9">
      <c r="A26" s="4" t="s">
        <v>174</v>
      </c>
      <c r="B26" s="4" t="s">
        <v>175</v>
      </c>
      <c r="C26" s="4" t="s">
        <v>176</v>
      </c>
      <c r="D26" s="4" t="s">
        <v>177</v>
      </c>
      <c r="E26" s="4" t="s">
        <v>178</v>
      </c>
      <c r="F26" s="5" t="s">
        <v>179</v>
      </c>
      <c r="G26" s="4" t="s">
        <v>180</v>
      </c>
      <c r="H26" s="6" t="str">
        <f t="shared" si="0"/>
        <v>{'ip1':'192.168.10.90','channel1':'ch48','ip2':'192.168.10.89','channel2':'ch49','machine':'192.168.10.88'}</v>
      </c>
      <c r="I26" s="6" t="str">
        <f t="shared" si="1"/>
        <v>update wms_device set data = "{'ip1':'192.168.10.90','channel1':'ch48','ip2':'192.168.10.89','channel2':'ch49','machine':'192.168.10.88'}" where device_name = "26号库对面";</v>
      </c>
    </row>
    <row r="27" ht="25" customHeight="1" spans="1:9">
      <c r="A27" s="4" t="s">
        <v>181</v>
      </c>
      <c r="B27" s="4" t="s">
        <v>182</v>
      </c>
      <c r="C27" s="4" t="s">
        <v>183</v>
      </c>
      <c r="D27" s="4" t="s">
        <v>184</v>
      </c>
      <c r="E27" s="4" t="s">
        <v>185</v>
      </c>
      <c r="F27" s="5" t="s">
        <v>186</v>
      </c>
      <c r="G27" s="4" t="s">
        <v>187</v>
      </c>
      <c r="H27" s="6" t="str">
        <f t="shared" si="0"/>
        <v>{'ip1':'192.168.10.87','channel1':'ch50','ip2':'192.168.10.86','channel2':'ch51','machine':'192.168.10.85'}</v>
      </c>
      <c r="I27" s="6" t="str">
        <f t="shared" si="1"/>
        <v>update wms_device set data = "{'ip1':'192.168.10.87','channel1':'ch50','ip2':'192.168.10.86','channel2':'ch51','machine':'192.168.10.85'}" where device_name = "48库南侧";</v>
      </c>
    </row>
    <row r="28" ht="25" customHeight="1" spans="1:9">
      <c r="A28" s="4" t="s">
        <v>188</v>
      </c>
      <c r="B28" s="4" t="s">
        <v>189</v>
      </c>
      <c r="C28" s="4" t="s">
        <v>190</v>
      </c>
      <c r="D28" s="4" t="s">
        <v>191</v>
      </c>
      <c r="E28" s="4" t="s">
        <v>192</v>
      </c>
      <c r="F28" s="5" t="s">
        <v>193</v>
      </c>
      <c r="G28" s="4" t="s">
        <v>194</v>
      </c>
      <c r="H28" s="6" t="str">
        <f t="shared" si="0"/>
        <v>{'ip1':'192.168.10.84','channel1':'ch52','ip2':'192.168.10.83','channel2':'ch53','machine':'192.168.10.82'}</v>
      </c>
      <c r="I28" s="6" t="str">
        <f t="shared" si="1"/>
        <v>update wms_device set data = "{'ip1':'192.168.10.84','channel1':'ch52','ip2':'192.168.10.83','channel2':'ch53','machine':'192.168.10.82'}" where device_name = "53号库南侧";</v>
      </c>
    </row>
    <row r="29" ht="25" customHeight="1" spans="1:9">
      <c r="A29" s="4" t="s">
        <v>195</v>
      </c>
      <c r="B29" s="4" t="s">
        <v>196</v>
      </c>
      <c r="C29" s="4" t="s">
        <v>197</v>
      </c>
      <c r="D29" s="4" t="s">
        <v>198</v>
      </c>
      <c r="E29" s="4" t="s">
        <v>199</v>
      </c>
      <c r="F29" s="5" t="s">
        <v>200</v>
      </c>
      <c r="G29" s="4" t="s">
        <v>201</v>
      </c>
      <c r="H29" s="6" t="str">
        <f t="shared" si="0"/>
        <v>{'ip1':'192.168.10.81','channel1':'ch54','ip2':'192.168.10.80','channel2':'ch55','machine':'192.168.10.79'}</v>
      </c>
      <c r="I29" s="6" t="str">
        <f t="shared" si="1"/>
        <v>update wms_device set data = "{'ip1':'192.168.10.81','channel1':'ch54','ip2':'192.168.10.80','channel2':'ch55','machine':'192.168.10.79'}" where device_name = "57号库南侧";</v>
      </c>
    </row>
    <row r="30" ht="25" customHeight="1" spans="1:9">
      <c r="A30" s="4" t="s">
        <v>202</v>
      </c>
      <c r="B30" s="4" t="s">
        <v>203</v>
      </c>
      <c r="C30" s="4" t="s">
        <v>204</v>
      </c>
      <c r="D30" s="4" t="s">
        <v>205</v>
      </c>
      <c r="E30" s="4" t="s">
        <v>206</v>
      </c>
      <c r="F30" s="5" t="s">
        <v>207</v>
      </c>
      <c r="G30" s="4" t="s">
        <v>208</v>
      </c>
      <c r="H30" s="6" t="str">
        <f t="shared" si="0"/>
        <v>{'ip1':'192.168.10.78','channel1':'ch56','ip2':'192.168.10.77','channel2':'ch57','machine':'192.168.10.76'}</v>
      </c>
      <c r="I30" s="6" t="str">
        <f t="shared" si="1"/>
        <v>update wms_device set data = "{'ip1':'192.168.10.78','channel1':'ch56','ip2':'192.168.10.77','channel2':'ch57','machine':'192.168.10.76'}" where device_name = "59号库南侧";</v>
      </c>
    </row>
    <row r="31" ht="25" customHeight="1" spans="1:9">
      <c r="A31" s="4" t="s">
        <v>209</v>
      </c>
      <c r="B31" s="4" t="s">
        <v>210</v>
      </c>
      <c r="C31" s="4" t="s">
        <v>211</v>
      </c>
      <c r="D31" s="4" t="s">
        <v>212</v>
      </c>
      <c r="E31" s="4" t="s">
        <v>213</v>
      </c>
      <c r="F31" s="5" t="s">
        <v>213</v>
      </c>
      <c r="G31" s="4" t="s">
        <v>214</v>
      </c>
      <c r="H31" s="6" t="str">
        <f t="shared" si="0"/>
        <v>{'ip1':'192.168.10.75','channel1':'ch58','ip2':'192.168.10.74','channel2':'ch59','machine':'192.168.10.74'}</v>
      </c>
      <c r="I31" s="6" t="str">
        <f t="shared" si="1"/>
        <v>update wms_device set data = "{'ip1':'192.168.10.75','channel1':'ch58','ip2':'192.168.10.74','channel2':'ch59','machine':'192.168.10.74'}" where device_name = "14号料场北侧";</v>
      </c>
    </row>
    <row r="32" ht="25" customHeight="1" spans="1:9">
      <c r="A32" s="4" t="s">
        <v>215</v>
      </c>
      <c r="B32" s="4" t="s">
        <v>216</v>
      </c>
      <c r="C32" s="4" t="s">
        <v>217</v>
      </c>
      <c r="D32" s="4" t="s">
        <v>218</v>
      </c>
      <c r="E32" s="4" t="s">
        <v>219</v>
      </c>
      <c r="F32" s="5" t="s">
        <v>220</v>
      </c>
      <c r="G32" s="4" t="s">
        <v>221</v>
      </c>
      <c r="H32" s="6" t="str">
        <f t="shared" si="0"/>
        <v>{'ip1':'192.168.10.73','channel1':'ch60','ip2':'192.168.10.72','channel2':'ch61','machine':'192.168.10.71'}</v>
      </c>
      <c r="I32" s="6" t="str">
        <f t="shared" si="1"/>
        <v>update wms_device set data = "{'ip1':'192.168.10.73','channel1':'ch60','ip2':'192.168.10.72','channel2':'ch61','machine':'192.168.10.71'}" where device_name = "10号库东侧";</v>
      </c>
    </row>
    <row r="33" ht="25" customHeight="1" spans="1:9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226</v>
      </c>
      <c r="F33" s="5" t="s">
        <v>227</v>
      </c>
      <c r="G33" s="4" t="s">
        <v>228</v>
      </c>
      <c r="H33" s="6" t="str">
        <f t="shared" si="0"/>
        <v>{'ip1':'192.168.10.70','channel1':'ch62','ip2':'192.168.10.69','channel2':'ch63','machine':'192.168.10.68'}</v>
      </c>
      <c r="I33" s="6" t="str">
        <f t="shared" si="1"/>
        <v>update wms_device set data = "{'ip1':'192.168.10.70','channel1':'ch62','ip2':'192.168.10.69','channel2':'ch63','machine':'192.168.10.68'}" where device_name = "筒仓对面路口";</v>
      </c>
    </row>
    <row r="34" ht="25" customHeight="1" spans="1:9">
      <c r="A34" s="4" t="s">
        <v>229</v>
      </c>
      <c r="B34" s="4" t="s">
        <v>230</v>
      </c>
      <c r="C34" s="4" t="s">
        <v>231</v>
      </c>
      <c r="D34" s="4" t="s">
        <v>230</v>
      </c>
      <c r="E34" s="4" t="s">
        <v>231</v>
      </c>
      <c r="F34" s="5" t="s">
        <v>232</v>
      </c>
      <c r="G34" s="4" t="s">
        <v>233</v>
      </c>
      <c r="H34" s="6" t="str">
        <f t="shared" si="0"/>
        <v>{'ip1':'192.168.10.66','channel1':'ch64','ip2':'192.168.10.66','channel2':'ch64','machine':'192.168.10.65'}</v>
      </c>
      <c r="I34" s="6" t="str">
        <f t="shared" si="1"/>
        <v>update wms_device set data = "{'ip1':'192.168.10.66','channel1':'ch64','ip2':'192.168.10.66','channel2':'ch64','machine':'192.168.10.65'}" where device_name = "0号公路东北角2";</v>
      </c>
    </row>
    <row r="35" ht="25" customHeight="1" spans="1:9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5" t="s">
        <v>239</v>
      </c>
      <c r="G35" s="4" t="s">
        <v>240</v>
      </c>
      <c r="H35" s="6" t="str">
        <f t="shared" ref="H35:H52" si="2">"{'ip1':'"&amp;C35&amp;"','channel1':'"&amp;B35&amp;"','ip2':'"&amp;E35&amp;"','channel2':'"&amp;D35&amp;"','machine':'"&amp;F35&amp;"'}"</f>
        <v>{'ip1':'192.168.10.64','channel1':'ch65','ip2':'192.168.10.63','channel2':'ch66','machine':'192.168.10.62'}</v>
      </c>
      <c r="I35" s="6" t="str">
        <f t="shared" ref="I35:I52" si="3">"update wms_device set data = """&amp;H35&amp;""" where device_name = """&amp;G35&amp;""";"</f>
        <v>update wms_device set data = "{'ip1':'192.168.10.64','channel1':'ch65','ip2':'192.168.10.63','channel2':'ch66','machine':'192.168.10.62'}" where device_name = "12号料场";</v>
      </c>
    </row>
    <row r="36" ht="25" customHeight="1" spans="1:9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5" t="s">
        <v>246</v>
      </c>
      <c r="G36" s="4" t="s">
        <v>247</v>
      </c>
      <c r="H36" s="6" t="str">
        <f t="shared" si="2"/>
        <v>{'ip1':'192.168.10.61','channel1':'ch67','ip2':'192.168.10.60','channel2':'ch68','machine':'192.168.10.59'}</v>
      </c>
      <c r="I36" s="6" t="str">
        <f t="shared" si="3"/>
        <v>update wms_device set data = "{'ip1':'192.168.10.61','channel1':'ch67','ip2':'192.168.10.60','channel2':'ch68','machine':'192.168.10.59'}" where device_name = "9号料场";</v>
      </c>
    </row>
    <row r="37" ht="25" customHeight="1" spans="1:9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5" t="s">
        <v>253</v>
      </c>
      <c r="G37" s="4" t="s">
        <v>254</v>
      </c>
      <c r="H37" s="6" t="str">
        <f t="shared" si="2"/>
        <v>{'ip1':'192.168.10.58','channel1':'ch69','ip2':'192.168.10.57','channel2':'ch70','machine':'192.168.10.56'}</v>
      </c>
      <c r="I37" s="6" t="str">
        <f t="shared" si="3"/>
        <v>update wms_device set data = "{'ip1':'192.168.10.58','channel1':'ch69','ip2':'192.168.10.57','channel2':'ch70','machine':'192.168.10.56'}" where device_name = "北门";</v>
      </c>
    </row>
    <row r="38" ht="25" customHeight="1" spans="1:9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5" t="s">
        <v>260</v>
      </c>
      <c r="G38" s="4" t="s">
        <v>261</v>
      </c>
      <c r="H38" s="6" t="str">
        <f t="shared" si="2"/>
        <v>{'ip1':'192.168.10.55','channel1':'ch71','ip2':'192.168.10.54','channel2':'ch72','machine':'192.168.10.53'}</v>
      </c>
      <c r="I38" s="6" t="str">
        <f t="shared" si="3"/>
        <v>update wms_device set data = "{'ip1':'192.168.10.55','channel1':'ch71','ip2':'192.168.10.54','channel2':'ch72','machine':'192.168.10.53'}" where device_name = "海关监管东侧料场";</v>
      </c>
    </row>
    <row r="39" ht="25" customHeight="1" spans="1:9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5" t="s">
        <v>267</v>
      </c>
      <c r="G39" s="4" t="s">
        <v>268</v>
      </c>
      <c r="H39" s="6" t="str">
        <f t="shared" si="2"/>
        <v>{'ip1':'192.168.10.52','channel1':'ch73','ip2':'192.168.10.51','channel2':'ch74','machine':'192.168.10.50'}</v>
      </c>
      <c r="I39" s="6" t="str">
        <f t="shared" si="3"/>
        <v>update wms_device set data = "{'ip1':'192.168.10.52','channel1':'ch73','ip2':'192.168.10.51','channel2':'ch74','machine':'192.168.10.50'}" where device_name = "2号公路西";</v>
      </c>
    </row>
    <row r="40" ht="25" customHeight="1" spans="1:9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5" t="s">
        <v>274</v>
      </c>
      <c r="G40" s="4" t="s">
        <v>275</v>
      </c>
      <c r="H40" s="6" t="str">
        <f t="shared" si="2"/>
        <v>{'ip1':'192.168.10.49','channel1':'ch75','ip2':'192.168.10.48','channel2':'ch76','machine':'192.168.10.47'}</v>
      </c>
      <c r="I40" s="6" t="str">
        <f t="shared" si="3"/>
        <v>update wms_device set data = "{'ip1':'192.168.10.49','channel1':'ch75','ip2':'192.168.10.48','channel2':'ch76','machine':'192.168.10.47'}" where device_name = "65号库东";</v>
      </c>
    </row>
    <row r="41" ht="25" customHeight="1" spans="1:9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5" t="s">
        <v>281</v>
      </c>
      <c r="G41" s="4" t="s">
        <v>282</v>
      </c>
      <c r="H41" s="6" t="str">
        <f t="shared" si="2"/>
        <v>{'ip1':'192.168.10.46','channel1':'ch77','ip2':'192.168.10.45','channel2':'ch78','machine':'192.168.10.44'}</v>
      </c>
      <c r="I41" s="6" t="str">
        <f t="shared" si="3"/>
        <v>update wms_device set data = "{'ip1':'192.168.10.46','channel1':'ch77','ip2':'192.168.10.45','channel2':'ch78','machine':'192.168.10.44'}" where device_name = "2号公路东北";</v>
      </c>
    </row>
    <row r="42" ht="25" customHeight="1" spans="1:9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5" t="s">
        <v>288</v>
      </c>
      <c r="G42" s="4" t="s">
        <v>289</v>
      </c>
      <c r="H42" s="6" t="str">
        <f t="shared" si="2"/>
        <v>{'ip1':'192.168.10.43','channel1':'ch79','ip2':'192.168.10.42','channel2':'ch80','machine':'192.168.10.41'}</v>
      </c>
      <c r="I42" s="6" t="str">
        <f t="shared" si="3"/>
        <v>update wms_device set data = "{'ip1':'192.168.10.43','channel1':'ch79','ip2':'192.168.10.42','channel2':'ch80','machine':'192.168.10.41'}" where device_name = "筒仓路口";</v>
      </c>
    </row>
    <row r="43" ht="25" customHeight="1" spans="1:9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5" t="s">
        <v>295</v>
      </c>
      <c r="G43" s="4" t="s">
        <v>296</v>
      </c>
      <c r="H43" s="6" t="str">
        <f t="shared" si="2"/>
        <v>{'ip1':'192.168.10.40','channel1':'ch81','ip2':'192.168.10.39','channel2':'ch82','machine':'192.168.10.38'}</v>
      </c>
      <c r="I43" s="6" t="str">
        <f t="shared" si="3"/>
        <v>update wms_device set data = "{'ip1':'192.168.10.40','channel1':'ch81','ip2':'192.168.10.39','channel2':'ch82','machine':'192.168.10.38'}" where device_name = "3号公里火车道路口";</v>
      </c>
    </row>
    <row r="44" ht="25" customHeight="1" spans="1:9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5" t="s">
        <v>302</v>
      </c>
      <c r="G44" s="4" t="s">
        <v>303</v>
      </c>
      <c r="H44" s="6" t="str">
        <f t="shared" si="2"/>
        <v>{'ip1':'192.168.10.37','channel1':'ch83','ip2':'192.168.10.35','channel2':'ch84','machine':'192.168.10.34'}</v>
      </c>
      <c r="I44" s="6" t="str">
        <f t="shared" si="3"/>
        <v>update wms_device set data = "{'ip1':'192.168.10.37','channel1':'ch83','ip2':'192.168.10.35','channel2':'ch84','machine':'192.168.10.34'}" where device_name = "70号库西侧";</v>
      </c>
    </row>
    <row r="45" ht="25" customHeight="1" spans="1:9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5" t="s">
        <v>309</v>
      </c>
      <c r="G45" s="4" t="s">
        <v>310</v>
      </c>
      <c r="H45" s="6" t="str">
        <f t="shared" si="2"/>
        <v>{'ip1':'192.168.10.33','channel1':'ch85','ip2':'192.168.10.32','channel2':'ch86','machine':'192.168.10.31'}</v>
      </c>
      <c r="I45" s="6" t="str">
        <f t="shared" si="3"/>
        <v>update wms_device set data = "{'ip1':'192.168.10.33','channel1':'ch85','ip2':'192.168.10.32','channel2':'ch86','machine':'192.168.10.31'}" where device_name = "73号库西侧";</v>
      </c>
    </row>
    <row r="46" ht="25" customHeight="1" spans="1:9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5" t="s">
        <v>316</v>
      </c>
      <c r="G46" s="4" t="s">
        <v>317</v>
      </c>
      <c r="H46" s="6" t="str">
        <f t="shared" si="2"/>
        <v>{'ip1':'192.168.10.30','channel1':'ch87','ip2':'192.168.10.29','channel2':'ch88','machine':'192.168.10.28'}</v>
      </c>
      <c r="I46" s="6" t="str">
        <f t="shared" si="3"/>
        <v>update wms_device set data = "{'ip1':'192.168.10.30','channel1':'ch87','ip2':'192.168.10.29','channel2':'ch88','machine':'192.168.10.28'}" where device_name = "72号库西侧";</v>
      </c>
    </row>
    <row r="47" ht="25" customHeight="1" spans="1:9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5" t="s">
        <v>323</v>
      </c>
      <c r="G47" s="4" t="s">
        <v>324</v>
      </c>
      <c r="H47" s="6" t="str">
        <f t="shared" si="2"/>
        <v>{'ip1':'192.168.10.27','channel1':'ch89','ip2':'192.168.10.26','channel2':'ch90','machine':'192.168.10.25'}</v>
      </c>
      <c r="I47" s="6" t="str">
        <f t="shared" si="3"/>
        <v>update wms_device set data = "{'ip1':'192.168.10.27','channel1':'ch89','ip2':'192.168.10.26','channel2':'ch90','machine':'192.168.10.25'}" where device_name = "27号料场北侧路口";</v>
      </c>
    </row>
    <row r="48" ht="25" customHeight="1" spans="1:9">
      <c r="A48" s="4" t="s">
        <v>325</v>
      </c>
      <c r="B48" s="4" t="s">
        <v>326</v>
      </c>
      <c r="C48" s="4" t="s">
        <v>327</v>
      </c>
      <c r="D48" s="4" t="s">
        <v>328</v>
      </c>
      <c r="E48" s="4" t="s">
        <v>329</v>
      </c>
      <c r="F48" s="5" t="s">
        <v>330</v>
      </c>
      <c r="G48" s="4" t="s">
        <v>331</v>
      </c>
      <c r="H48" s="6" t="str">
        <f t="shared" si="2"/>
        <v>{'ip1':'192.168.10.24','channel1':'ch91','ip2':'192.168.10.23','channel2':'ch92','machine':'192.168.10.22'}</v>
      </c>
      <c r="I48" s="6" t="str">
        <f t="shared" si="3"/>
        <v>update wms_device set data = "{'ip1':'192.168.10.24','channel1':'ch91','ip2':'192.168.10.23','channel2':'ch92','machine':'192.168.10.22'}" where device_name = "27号料场东";</v>
      </c>
    </row>
    <row r="49" ht="25" customHeight="1" spans="1:9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5" t="s">
        <v>337</v>
      </c>
      <c r="G49" s="4" t="s">
        <v>338</v>
      </c>
      <c r="H49" s="6" t="str">
        <f t="shared" si="2"/>
        <v>{'ip1':'192.168.10.21','channel1':'ch93','ip2':'192.168.10.20','channel2':'ch94','machine':'192.168.10.19'}</v>
      </c>
      <c r="I49" s="6" t="str">
        <f t="shared" si="3"/>
        <v>update wms_device set data = "{'ip1':'192.168.10.21','channel1':'ch93','ip2':'192.168.10.20','channel2':'ch94','machine':'192.168.10.19'}" where device_name = "3号公路东南角";</v>
      </c>
    </row>
    <row r="50" ht="25" customHeight="1" spans="1:9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5" t="s">
        <v>344</v>
      </c>
      <c r="G50" s="4" t="s">
        <v>345</v>
      </c>
      <c r="H50" s="6" t="str">
        <f t="shared" si="2"/>
        <v>{'ip1':'192.168.10.18','channel1':'ch95','ip2':'192.168.10.17','channel2':'ch96','machine':'192.168.10.16'}</v>
      </c>
      <c r="I50" s="6" t="str">
        <f t="shared" si="3"/>
        <v>update wms_device set data = "{'ip1':'192.168.10.18','channel1':'ch95','ip2':'192.168.10.17','channel2':'ch96','machine':'192.168.10.16'}" where device_name = "3号公路中段路口";</v>
      </c>
    </row>
    <row r="51" ht="25" customHeight="1" spans="1:9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5" t="s">
        <v>351</v>
      </c>
      <c r="G51" s="4" t="s">
        <v>352</v>
      </c>
      <c r="H51" s="6" t="str">
        <f t="shared" si="2"/>
        <v>{'ip1':'192.168.10.15','channel1':'ch97','ip2':'192.168.10.14','channel2':'ch98','machine':'192.168.10.13'}</v>
      </c>
      <c r="I51" s="6" t="str">
        <f t="shared" si="3"/>
        <v>update wms_device set data = "{'ip1':'192.168.10.15','channel1':'ch97','ip2':'192.168.10.14','channel2':'ch98','machine':'192.168.10.13'}" where device_name = "0号公路中段";</v>
      </c>
    </row>
    <row r="52" ht="25" customHeight="1" spans="1:9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5" t="s">
        <v>358</v>
      </c>
      <c r="G52" s="4" t="s">
        <v>359</v>
      </c>
      <c r="H52" s="6" t="str">
        <f t="shared" si="2"/>
        <v>{'ip1':'192.168.10.11','channel1':'ch99','ip2':'192.168.10.12','channel2':'ch100','machine':'192.168.10.10'}</v>
      </c>
      <c r="I52" s="6" t="str">
        <f t="shared" si="3"/>
        <v>update wms_device set data = "{'ip1':'192.168.10.11','channel1':'ch99','ip2':'192.168.10.12','channel2':'ch100','machine':'192.168.10.10'}" where device_name = "0号公路西口";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Just go and without words</cp:lastModifiedBy>
  <dcterms:created xsi:type="dcterms:W3CDTF">2025-11-25T11:33:00Z</dcterms:created>
  <dcterms:modified xsi:type="dcterms:W3CDTF">2026-01-06T05:59:12Z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F229715B39A149E5AD3A5D5CE3955134_13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